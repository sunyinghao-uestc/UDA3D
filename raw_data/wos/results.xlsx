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970"/>
  </bookViews>
  <sheets>
    <sheet name="savedre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<sst xmlns="http://schemas.openxmlformats.org/spreadsheetml/2006/main" count="241" uniqueCount="184">
  <si>
    <t>Authors</t>
  </si>
  <si>
    <t>Article Title</t>
  </si>
  <si>
    <t>Source Title</t>
  </si>
  <si>
    <t>Abstract</t>
  </si>
  <si>
    <t>Publication Date</t>
  </si>
  <si>
    <t>Publication Year</t>
  </si>
  <si>
    <t>Volume</t>
  </si>
  <si>
    <t>Issue</t>
  </si>
  <si>
    <t>Start Page</t>
  </si>
  <si>
    <t>End Page</t>
  </si>
  <si>
    <t>DOI Link</t>
  </si>
  <si>
    <t>UT (Unique WOS ID)</t>
  </si>
  <si>
    <t>Zhi, P; Jiang, LH; Yang, X; Wang, XZ; Li, HW; Zhou, QG; Li, KC; Ivanovic, M</t>
  </si>
  <si>
    <t>Cross-Domain Generalization for LiDAR-Based 3D Object Detection in Infrastructure and Vehicle Environments</t>
  </si>
  <si>
    <t>SENSORS</t>
  </si>
  <si>
    <t>In the intelligent transportation field, the Internet of Things (IoT) is commonly applied using 3D object detection as a crucial part of Vehicle-to-Everything (V2X) cooperative perception. However, challenges arise from discrepancies in sensor configurations between vehicles and infrastructure, leading to variations in the scale and heterogeneity of point clouds. To address the performance differences caused by the generalization problem of 3D object detection models with heterogeneous LiDAR point clouds, we propose the Dual-Channel Generalization Neural Network (DCGNN), which incorporates a novel data-level downsampling and calibration module along with a cross-perspective Squeeze-and-Excitation attention mechanism for improved feature fusion. Experimental results using the DAIR-V2X dataset indicate that DCGNN outperforms detectors trained on single datasets, demonstrating significant improvements over selected baseline models.</t>
  </si>
  <si>
    <t>FEB</t>
  </si>
  <si>
    <t/>
  </si>
  <si>
    <t>WOS:001419365200001</t>
  </si>
  <si>
    <t>Yang, JH; Shi, SS; Wang, Z; Li, HS; Qi, XJ</t>
  </si>
  <si>
    <t>ST3D++: Denoised Self-Training for Unsupervised Domain Adaptation on 3D Object Detection</t>
  </si>
  <si>
    <t>IEEE TRANSACTIONS ON PATTERN ANALYSIS AND MACHINE INTELLIGENCE</t>
  </si>
  <si>
    <t>In this paper, we present a self-training method, named ST3D++, with a holistic pseudo label denoising pipeline for unsupervised domain adaptation on 3D object detection. ST3D++ aims at reducing noise in pseudo label generation as well as alleviating the negative impacts of noisy pseudo labels on model training. First, ST3D++ pre-trains the 3D object detector on the labeled source domain with random object scaling (ROS) which is designed to reduce target domain pseudo label noise arising from object scale bias of the source domain. Then, the detector is progressively improved through alternating between generating pseudo labels and training the object detector with pseudo-labeled target domain data. Here, we equip the pseudo label generation process with a hybrid quality-aware triplet memory to improve the quality and stability of generated pseudo labels. Meanwhile, in the model training stage, we propose a source data assisted training strategy and a curriculum data augmentation policy to effectively rectify noisy gradient directions and avoid model over-fitting to noisy pseudo labeled data. These specific designs enable the detector to be trained on meticulously refined pseudo labeled target data with denoised training signals, and thus effectively facilitate adapting an object detector to a target domain without requiring annotations. Finally, our method is assessed on four 3D benchmark datasets (i.e., Waymo, KITTI, Lyft, and nuScenes) for three common categories (i.e., car, pedestrian and bicycle). ST3D++ achieves state-of-the-art performance on all evaluated settings, outperforming the corresponding baseline by a large margin (e.g., 9.6% similar to 38.16% on Waymo -&gt; KITTI in terms of AP(3D)), and even surpasses the fully supervised oracle results on the KITTI 3D object detection benchmark with target prior.</t>
  </si>
  <si>
    <t>MAY 1</t>
  </si>
  <si>
    <t>WOS:000964792800065</t>
  </si>
  <si>
    <t>Zhang, C; Chen, WB; Wang, W; Zhang, ZX</t>
  </si>
  <si>
    <t>MA-ST3D: Motion Associated Self-Training for Unsupervised Domain Adaptation on 3D Object Detection</t>
  </si>
  <si>
    <t>IEEE TRANSACTIONS ON IMAGE PROCESSING</t>
  </si>
  <si>
    <t>Recently, unsupervised domain adaptation (UDA) for 3D object detectors has increasingly garnered attention as a method to eliminate the prohibitive costs associated with generating extensive 3D annotations, which are crucial for effective model training. Self-training (ST) has emerged as a simple and effective technique for UDA. The major issue involved in ST-UDA for 3D object detection is refining the imprecise predictions caused by domain shift and generating accurate pseudo labels as supervisory signals. This study presents a novel ST-UDA framework to generate high-quality pseudo labels by associating predictions of 3D point cloud sequences during ego-motion according to spatial and temporal consistency, named motion-associated self-training for 3D object detection (MA-ST3D). MA-ST3D maintains a global-local pathway (GLP) architecture to generate high-quality pseudo-labels by leveraging both intra-frame and inter-frame consistencies along the spatial dimension of the LiDAR's ego-motion. It also equips two memory modules for both global and local pathways, called global memory and local memory, to suppress the temporal fluctuation of pseudo-labels during self-training iterations. In addition, a motion-aware loss is introduced to impose discriminated regulations on pseudo labels with different motion statuses, which mitigates the harmful spread of false positive pseudo labels. Finally, our method is evaluated on three representative domain adaptation tasks on authoritative 3D benchmark datasets (i.e. Waymo, Kitti, and nuScenes). MA-ST3D achieved SOTA performance on all evaluated UDA settings and even surpassed the weakly supervised DA methods on the Kitti and NuScenes object detection benchmark.</t>
  </si>
  <si>
    <t>WOS:001346721400002</t>
  </si>
  <si>
    <t>Zhang, RY; Liu, JM; Li, XQ; Chi, XW; Wang, D; Du, L; Du, Y; Zhang, SH</t>
  </si>
  <si>
    <t>BEVUDA plus plus : Geometric-Aware Unsupervised Domain Adaptation for Multi-View 3D Object Detection</t>
  </si>
  <si>
    <t>IEEE TRANSACTIONS ON CIRCUITS AND SYSTEMS FOR VIDEO TECHNOLOGY</t>
  </si>
  <si>
    <t>Vision-centric Bird's Eye View (BEV) perception holds considerable promise for autonomous driving. Recent studies have prioritized efficiency or accuracy enhancements, yet the issue of domain shift has been overlooked, leading to substantial performance degradation upon transfer. We identify major domain gaps in real-world cross-domain scenarios and initiate the first effort to address the Domain Adaptation (DA) challenge in multi-view 3D object detection for BEV perception. Given the complexity of BEV perception approaches with their multiple components, domain shift accumulation across multi-geometric spaces (e.g., 2D, 3D Voxel, BEV) poses a significant challenge for BEV domain adaptation. In this paper, we introduce an innovative geometric-aware teacher-student framework, BEVUDA++, to diminish this issue, comprising a Reliable Depth Teacher (RDT) and a Geometric Consistent Student (GCS) model. Specifically, RDT effectively blends target LiDAR with dependable depth predictions to generate depth-aware information based on uncertainty estimation, enhancing the extraction of Voxel and BEV features that are essential for understanding the target domain. To collaboratively reduce the domain shift, GCS maps features from multiple spaces into a unified geometric embedding space, thereby narrowing the gap in data distribution between the two domains. Additionally, we introduce a novel Uncertainty-guided Exponential Moving Average (UEMA) to further reduce error accumulation due to domain shifts informed by previously obtained uncertainty guidance. To demonstrate the superiority of our proposed method, we execute comprehensive experiments in four cross-domain scenarios, securing state-of-the-art performance in BEV 3D object detection tasks, e.g., 12.9% NDS and 9.5% mAP enhancement on Day-Night adaptation.</t>
  </si>
  <si>
    <t>MAY</t>
  </si>
  <si>
    <t>WOS:001484022800006</t>
  </si>
  <si>
    <t>Balim, MA; Hanilçi, C; Acir, N</t>
  </si>
  <si>
    <t>Benchmarking domain adaptation for LiDAR-based 3D object detection in autonomous driving</t>
  </si>
  <si>
    <t>SIGNAL IMAGE AND VIDEO PROCESSING</t>
  </si>
  <si>
    <t>The generalization capability of 3D object detection models is crucial for ensuring robust perception in autonomous driving systems. While state-of-the-art models such as Voxel R-CNN, PV-RCNN, and CenterPoint have demonstrated strong performance on publicly available datasets (e.g., KITTI, Waymo, and nuScenes). In this study, we conduct a comprehensive benchmark evaluation. We introduce two custom datasets: (i) a real-world dataset collected using KARSAN's autonomous minibus equipped with a 128-channel LiDAR sensor under diverse traffic conditions, and (ii) a simulated dataset generated using the AWSIM simulation platform, capturing over five hours of synthetic driving data with virtual LiDAR sensors. Our results indicate that 3D object detection performance is highly dataset-dependent, as no single model achieves superior results across all datasets and metrics. Cross-dataset evaluation highlights the challenges of domain mismatch, which causes significant performance degradation when models are tested on our custom datasets, particularly in the synthetic domain. To mitigate these effects, we explore six domain adaptation techniques and demonstrate that their application substantially improves model performance. Bi3D, SESS, and Uni3D outperform UDA, CLUE, and ST3D, yielding more robust generalization across both real-world and simulated environments. These findings shed light on the potential of domain adaptation to improve model performance across domain shifts, despite the ongoing challenges in achieving consistent outcomes across all environments.</t>
  </si>
  <si>
    <t>SEP 5</t>
  </si>
  <si>
    <t>WOS:001567113700029</t>
  </si>
  <si>
    <t>Gu, X; Guo, Y; Yang, GZ; Lo, B</t>
  </si>
  <si>
    <t>Cross-Domain Self-Supervised Complete Geometric Representation Learning for Real-Scanned Point Cloud Based Pathological Gait Analysis</t>
  </si>
  <si>
    <t>IEEE JOURNAL OF BIOMEDICAL AND HEALTH INFORMATICS</t>
  </si>
  <si>
    <t>Accurate lower-limb pose estimation is aprerequisite of skeleton based pathological gait analysis. To achieve this goal in free-living environments for long-term monitoring, single depth sensor has been proposed in research. However, the depth map acquired from a single viewpoint encodes only partial geometric information of the lower limbs and exhibits large variations across different viewpoints. Existing off-the-shelf 3D pose tracking algorithms and public datasets for depth based human pose estimation are mainly targeted at activity recognition applications. They are relatively insensitive to skeleton estimation accuracy, especially at the foot segments. Furthermore, acquiring ground truth skeleton data for detailed biomechanics analysis also requires considerable efforts. To address these issues, we propose a novel cross-domain self-supervised complete geometric representation learning framework, with knowledge transfer from the unlabelled synthetic point clouds of full lower-limb surfaces. The proposed method can significantly reduce the number of ground truth skeletons (with only 1%) in the training phase, meanwhile ensuring accurate and precise pose estimation and capturing discriminative features across different pathological gait patterns compared to other methods.</t>
  </si>
  <si>
    <t>MAR</t>
  </si>
  <si>
    <t>WOS:000766665300015</t>
  </si>
  <si>
    <t>Wang, K; Zhou, P; Hu, M; Lu, JB</t>
  </si>
  <si>
    <t>Unsupervised 3D Object Detection Domain Adaptation Based on Pseudo-Label Variance Regularization</t>
  </si>
  <si>
    <t>Cross-domain detection frequently encounters a decline in detection accuracy, necessitating the application of domain adaptation techniques. One crucial approach to unsupervised domain adaptation is the pseudo label-based self-training method, which iteratively trains the model by treating the pseudo labels as ground truth. However, differences in distribution that can exist between the source and target domains can lead to potentially incorrect generated pseudo labels. This can result in the threshold-setting method failing to accurately select the pseudo labels. Therefore, to tackle the challenge of determining pseudo label thresholds in self-training, we propose an unsupervised 3D object detection domain adaptation method based on pseudo label regularization. Specifically, a self-training framework based on the fusion of two detection heads is used to obtain more accurate pseudo labels. The variance of the two detection heads is utilized as the noise information for the corresponding pseudo labels. Then, the noise information is incorporated as a regularization term to enhance the bounding box regression loss, thereby addressing the challenge of determining pseudo label thresholds in self-training. The experimental results demonstrate that the method proposed in this paper achieves higher cross-domain detection accuracy compared to existing domain adaptation methods for 3D object detection.</t>
  </si>
  <si>
    <t>JUL</t>
  </si>
  <si>
    <t>WOS:001522933000039</t>
  </si>
  <si>
    <t>Li, ZY; Yao, YC; Quan, ZB; Qi, L; Feng, ZH; Yang, WK</t>
  </si>
  <si>
    <t>Adaptation via Proxy: Building Instance-Aware Proxy for Unsupervised Domain Adaptive 3D Object Detection</t>
  </si>
  <si>
    <t>IEEE TRANSACTIONS ON INTELLIGENT VEHICLES</t>
  </si>
  <si>
    <t>3D detection task plays a crucial role in the perception system of intelligent vehicles. LiDAR-based 3D detectors perform well on particular autonomous driving benchmarks, but may poorly generalize to other domains. Existing 3D domain adaptive detection methods usually require annotation-related statistics or continuous refinement of pseudo-labels. The former is not always feasible for practical applications, while the latter lacks sufficient accurate supervision. In this work, we propose a novel unsupervised domain adaptive framework, namely Adaptation Via Proxy (AVP), that explicitly leverages cross-domain relationships to generate adequate high-quality samples, thus mitigating domain shifts for existing LiDAR-based 3D detectors. Specifically, we first train the detector on source domain with the curriculum example mining (CEM) strategy to enhance its generalization capability. Then, we integrate the profitable instance knowledge from the source domain with the contextual information from the target domain, to construct the instance-aware proxy, which is a data collection with diverse training scenes and stronger supervision. Finally, we fine-tune the pre-trained detector on the proxy data for further optimizing the detector to overcome domain gaps. To build the instance-aware proxy, two components are proposed, i.e., the multi-view multi-scale aggregation (MMA) method for producing high-quality pseudo-labels, and the hybrid instance augmentation (HIA) technique for integrating the knowledge from source annotations to enhance supervision. Note that AVP is architecture-agnostic thus it can be easily injected with any LiDAR-based 3D detectors. Extensive experiments on Waymo, nuScenes, KITTI and Lyft demonstrate the superiority of the proposed method over the state-of-the-art approaches for different adaptation scenarios.</t>
  </si>
  <si>
    <t>WOS:001215322100058</t>
  </si>
  <si>
    <t>Yuan, JK; Yan, XC; Shi, BT; Zhang, B; Xu, F; Qiao, Y; Chen, T</t>
  </si>
  <si>
    <t>Bi3D++: Hybrid Bi-Domain Active Learning for Cross-Domain 3D Object Detection</t>
  </si>
  <si>
    <t>Domain adaptation has recently been widely explored for 3D detection. Previous works mainly use unsupervised domain adaptation (UDA) to address domain discrepancies. Despite notable improvements, their performance still largely trails models trained with fully annotated target data, due to larger domain gaps caused by different sensors and changing environments. In this paper, we exploit key characteristics of autonomous driving scenarios, including similar scenes and classimbalanced distributions, and explore a new task named active domain adaptation (ADA) for 3D object detection, which selects partial but important target data for annotation to further improve target-domain performance. Such a setting better reflects practical deployment in practice, where annotating all target-domain point clouds is prohibitively expensive while limited labels can substantially guide adaptation effectively. To this end, we propose a hybrid bi-domain active learning strategy, Bi3D++, to sample valuable data from both source and target domains and transfer source-domain knowledge to the target domain. Bi3D++ first samples target-like source data by measuring scene-level and instance-level similarity between domains, avoiding interference from irrelevant source data. Then, a hybrid active target sampling strategy selects target data by jointly considering rare-class similarity, intra-frame diversity, and inter-frame diversity, enabling diverse frames with diverse instances while emphasizing rare classes. Experiments on multiple cross-domain settings, including cross-beam and cross-location, show that Bi3D++ outperforms state-of-theart UDA methods with only 1% labeled target data and consistently improves performance as target annotations increase.</t>
  </si>
  <si>
    <t>SEP</t>
  </si>
  <si>
    <t>WOS:001843558700034</t>
  </si>
  <si>
    <t>Wozniak, MK; Hansson, M; Thiel, M; Jensfelt, P</t>
  </si>
  <si>
    <t>UADA3D: Unsupervised Adversarial Domain Adaptation for 3D Object Detection With Sparse LiDAR and Large Domain Gaps</t>
  </si>
  <si>
    <t>IEEE ROBOTICS AND AUTOMATION LETTERS</t>
  </si>
  <si>
    <t>In this study, we address a gap in existing unsupervised domain adaptation approaches on LiDAR-based 3D object detection, which have predominantly concentrated on adapting between established, high-density autonomous driving datasets. We focus on sparser point clouds, capturing scenarios from different perspectives: not just from vehicles on the road but also from mobile robots on sidewalks, which encounter significantly different environmental conditions and sensor configurations. We introduce Unsupervised Adversarial Domain Adaptation for 3D Object Detection (UADA3D). UADA3D does not depend on pre-trained source models or teacher-student architectures. Instead, it uses an adversarial approach to directly learn domain-invariant features. We demonstrate its efficacy in various adaptation scenarios, showing significant improvements in both self-driving car and mobile robot domains.</t>
  </si>
  <si>
    <t>DEC</t>
  </si>
  <si>
    <t>WOS:001351578600008</t>
  </si>
  <si>
    <t>Wang, ZY; Wang, L; Xiao, L; Dai, B</t>
  </si>
  <si>
    <t>Unsupervised Subcategory Domain Adaptive Network for 3D Object Detection in LiDAR</t>
  </si>
  <si>
    <t>ELECTRONICS</t>
  </si>
  <si>
    <t>Three-dimensional object detection based on the LiDAR point cloud plays an important role in autonomous driving. The point cloud distribution of the object varies greatly at different distances, observation angles, and occlusion levels. Besides, different types of LiDARs have different settings of projection angles, thus producing an entirely different point cloud distribution. Pre-trained models on the dataset with annotations may degrade on other datasets. In this paper, we propose a method for object detection using an unsupervised adaptive network, which does not require additional annotation data of the target domain. Our object detection adaptive network consists of a general object detection network, a global feature adaptation network, and a special subcategory instance adaptation network. We divide the source domain data into different subcategories and use a multi-label discriminator to assign labels dynamically to the target domain data. We evaluated our approach on the KITTI object benchmark and proved that the proposed unsupervised adaptive method could achieve a remarkable improvement in the adaptation capabilities.</t>
  </si>
  <si>
    <t>APR</t>
  </si>
  <si>
    <t>WOS:000643970100001</t>
  </si>
  <si>
    <t>DeBortoli, R; Li, FX; Kapoor, A; Hollinger, GA</t>
  </si>
  <si>
    <t>Adversarial Training on Point Clouds for Sim-to-Real 3D Object Detection</t>
  </si>
  <si>
    <t>In this work we address the problem of 3D object detection from point clouds in data-limited environments. Training with simulated data is a common approach in such scenarios; however a sim-to-real gap exists between clean and crisp simulated clouds and noisy real clouds. Previous sim-to-real approaches for processing point cloud scenes have compressed clouds into 2D and used 2D transfer techniques. However, this may compress useful 3D information and does not effectively reason about the unstructured nature of point cloud data. We thus propose a 3D adversarial training architecture that leverages an adaptive sampling module to reason about the unstructured nature of point cloud data. Our approach encourages the 3D feature encoder to extract features that are invariant across simulated and real scenes. We validate our approach in the context of the DARPA Subterranean Challenge and demonstrate that our 3D adversarial training architecture improves 3D object detection performance by up to 15% depending on the data representation.</t>
  </si>
  <si>
    <t>OCT</t>
  </si>
  <si>
    <t>WOS:000675205800046</t>
  </si>
  <si>
    <t>Mushtaq, H; Deng, XH; Alizadehsani, R; Iqbal, MS; Khan, T; Abbasi, AA</t>
  </si>
  <si>
    <t>SC3D: Semantic-guided and Class-adaptive cross-domain fusion for 3D object detection in autonomous vehicles</t>
  </si>
  <si>
    <t>EXPERT SYSTEMS WITH APPLICATIONS</t>
  </si>
  <si>
    <t>Accurate 3D object detection is critical for safe autonomous driving and smart mobility applications. Existing fusion methods that combine camera and LiDAR data face inefficiencies, including disjointed feature extraction, spatial misalignment, and issues with detecting smaller objects due to road vibrations and clock synchronization errors. Furthermore, heuristic sampling often overlooks key foreground points, diminishing detection accuracy for smaller, occluded objects. To address these challenges, we propose the Semantic-guided and Class- adaptive Hierarchical Cross-domain Fusion (SG-CAD Fusion) framework, which enhances 3D object detection in autonomous driving with three core innovations: (1) a Point Transformer Module that enriches raw LiDAR data with probabilistic features aligned with image pixels, enabling accurate feature synchronization across domains; (2) a Semantic Class-Adaptive Sampling mechanism that preserves essential foreground points as anchor points, facilitating effective discriminative feature learning; and (3) a Progressive Cross-Domain Fusion and Multi-Layer Refinement Network that integrates CNN and Transformer features within a structured progressive hierarchy, combining CNN's local feature detail with the global contextual depth of Transformers. On the KITTI and NuScenes benchmarks, SG-CAD Fusion achieves impressive Average Precision (AP) scores, with Bird's Eye View (BEV) detection at 94.08% (easy), 90.11% (moderate), and 85.92% (hard), resulting in a mean AP of 90.03%. For 3D detection, SG-CAD Fusion attains 89.52% (easy), 82.65% (moderate), and 77.92% (hard), with a mean AP of 83.27%. These results validate SG-CAD Fusion's effectiveness in boosting detection accuracy and segmentation across complex urban scenarios, highlighting its real-world applicability in autonomous vehicles and smart mobility.</t>
  </si>
  <si>
    <t>APR 5</t>
  </si>
  <si>
    <t>WOS:001399230400001</t>
  </si>
  <si>
    <t>Han, Z; Lin, W; Li, Q; Li, DQ</t>
  </si>
  <si>
    <t>Full-field deformation quantification of underground tunnels using SLAM LiDAR point cloud based on unsupervised neural implicit learning</t>
  </si>
  <si>
    <t>TUNNELLING AND UNDERGROUND SPACE TECHNOLOGY</t>
  </si>
  <si>
    <t>Deformation monitoring is critical for risk management in underground tunnel excavations, yet existing point cloud methods often struggle with complex irregular tunnel surface geometries and manual parameter selection. This study proposes NIFCyl, a novel unsupervised neural implicit learning framework for full-field tunnel deformation quantification. It learns a Neural Implicit Function to approximate tunnel surface geometry and generate scale-invariant normal fields from point clouds, coupled with a cylinder-based module for robust spatial averaging. In contrast to previous deep learning approaches, NIFCyl requires no ground-truth labels and eliminates the reliance on geometric fitting of local regions or specific surface roughness assumptions. Comparing it with the benchmark method-M3C2 algorithm on the synthetic deformation scenarios demonstrates that NIFCyl achieves superior accuracy (R2 = 0.963, RMSE = 0.009 m) and a five-fold increase in computational efficiency. Experimental field tests in an underground metal mine further confirm that NIFCyl outperforms M3C2 on curved surfaces by 6% in mean absolute error. A case study in an active mining tunnel reveals that NIFCyl successfully captures real-world deformations caused by scaling work. Systemic uncertainty analysis further demonstrates its robust noise control ability, establishing it as an accurate, efficient, and automated digital tool for 3D full-field deformation monitoring in complex underground tunnels.</t>
  </si>
  <si>
    <t>WOS:001768295600001</t>
  </si>
  <si>
    <t>Tsai, D; Berrio, JS; Shan, M; Worrall, S; Nebot, E</t>
  </si>
  <si>
    <t>See Eye to Eye: A Lidar-Agnostic 3D Detection Framework for Unsupervised Multi-Target Domain Adaptation</t>
  </si>
  <si>
    <t>Sampling discrepancies between different manufacturers and models of lidar sensors result in inconsistent representations of objects. This leads to performance degradation when 3D detectors trained for one lidar are tested on other types of lidars. Remarkable progress in lidar manufacturing has brought about advances in mechanical, solid-state, and recently, adjustable scan pattern lidars. For the latter, existing works often require fine-tuning the model each time scan patterns are adjusted, which is infeasible. We explicitly deal with the sampling discrepancy by proposing a novel unsupervised multi-target domain adaptation framework, SEE, for transferring the performance of state-of-the-art 3D detectors across both fixed and flexible scan pattern lidars without requiring fine-tuning of models by end-users. Our approach interpolates the underlying geometry and normalises the scan pattern of objects from different lidars before passing them to the detection network. We demonstrate the effectiveness of SEE on public datasets, achieving state-of-the-art results, and additionally provide quantitative results on a novel high-resolution lidar to prove the industry applications of our framework.</t>
  </si>
  <si>
    <t>WOS:000838441200016</t>
  </si>
  <si>
    <t>Shahbaz, M; Agarwal, S</t>
  </si>
  <si>
    <t>High-Fidelity Digital Twins for Bridging the Sim2Real Gap in LiDAR-Based ITS Perception</t>
  </si>
  <si>
    <t>IEEE TRANSACTIONS ON INTELLIGENT TRANSPORTATION SYSTEMS</t>
  </si>
  <si>
    <t>Sim2Real domain transfer offers a cost-effective and scalable approach for developing LiDAR-based perception (e.g., object detection, tracking, segmentation) in Intelligent Transportation Systems (ITS). However, perception models trained in simulation often underperform on real-world data due to distributional shifts. To address this Sim2Real gap, this paper proposes a high-fidelity digital twin (HiFi DT) framework that incorporates real-world background geometry, lane-level road topology, and sensor-specific specifications and placement. We formalize the domain adaptation challenge underlying Sim2Real learning and present a systematic method for constructing simulation environments that yield in-domain synthetic data. Evaluations are performed for the down-stream task of 3D object detection where off-the-shelf 3D object detectors are trained purely on HiFi DT-generated synthetic data and evaluated on real data. Our experiments show that the DT-trained models outperform the equivalent model trained on real data. To understand the gains, we quantify distributional alignment between synthetic and real data using multiple metrics at both raw-input and latent-feature levels. Results demonstrate that HiFi DTs substantially reduce domain shift and improve generalization across diverse evaluation scenarios. These findings underscore the significant role of digital twins in enabling reliable, simulation-based LiDAR perception for real-world ITS applications.</t>
  </si>
  <si>
    <t>WOS:001714650500001</t>
  </si>
  <si>
    <t>Talreja, PV; Durbha, SS</t>
  </si>
  <si>
    <t>DALi-CGAN: domain adaptive LiDAR-based conditional generative adversarial network for earthquake damage assessment</t>
  </si>
  <si>
    <t>GEOMATICS NATURAL HAZARDS &amp; RISK</t>
  </si>
  <si>
    <t>Due to the extensive structural damage caused by earthquakes, prompt and precise building damage assessment is essential for efficient disaster response. Traditional methods often fail to perform well in new regions where labelled data are scarce, underscoring the need for domain adaptation. In this context, our research presents a domain-adaptive LiDAR-based conditional generative adversarial network (DALi-CGAN) architecture, which is designed to address the complexities of cross-domain damage assessment using 3D LiDAR point cloud data. By incorporating graph attention, the proposed DALi-CGAN architecture enhances the feature extraction process, allowing for improved classification accuracy by capturing complex spatial relationships within the data. The model is evaluated under cross-domain, limited-data conditions, demonstrating effective generalization across the Haiti and Kumamoto earthquake-affected regions. The proposed DALi-CGAN demonstrates superior generative performance by achieving the lowest Fr &amp; eacute;chet point distance (FPD) of 0.58, improving upon the best-performing baseline (FPD = 0.81) by approximately 28%. The DALi-CGAN augmented dataset achieves a classification accuracy of 90.9% and an F1-score of 0.9085, outperforming existing approaches. Additionally, cross-validation confirms the robustness and generalization capability of the DALi-CGAN, with an average test accuracy of 0.9082 +/- 0.0088 and an F1-score of 0.9085 +/- 0.0088. Our findings highlight DALi-CGAN's potential to deliver reliable damage assessment across geographically distributed earthquake-affected regions.</t>
  </si>
  <si>
    <t>DEC 31</t>
  </si>
  <si>
    <t>WOS:001742900600001</t>
  </si>
  <si>
    <t>Chen, JZ; Guo, L; Ren, DK; Fu, Z; Liu, FR; Zhu, H; Pan, YX</t>
  </si>
  <si>
    <t>Geometry-Insensitive RPN Prototypes for Domain Adaptive 3D Object Detection</t>
  </si>
  <si>
    <t>ACM TRANSACTIONS ON MULTIMEDIA COMPUTING COMMUNICATIONS AND APPLICATIONS</t>
  </si>
  <si>
    <t>The region proposal network (RPN) plays a critical role in object detection for a two-stage domain adaptive 3D object detector. However, current methods usually minimize the disparity between source and target domains by reducing the bias in intrinsic geometric information or by undertaking feature alignment according to the geometric disparity but ignore the transferability of RPN-related features and neglect the discriminability between foreground and background, resulting in generating low-quality RPN proposals. Thus, we propose a novel domain adaptation method to distinguish the discriminability between foreground and background. It could implicitly avoid the geometric disparity of objects in feature alignment. Specifically, we first construct learnable and geometry-insensitive foreground RPN prototype and background RPN prototype. Then, we enforce the foreground RPN features and background RPN features to align with the foreground RPN prototype and background RPN prototype, respectively. By this way, the distributional discrepancy is effectively decreased and the adaptability is promoted for existing 3D detectors. We demonstrate that our approach achieves promising results compared with other domain adaptation works on multiple cross-domain detection scenarios.</t>
  </si>
  <si>
    <t>WOS:001696462000001</t>
  </si>
  <si>
    <t>Wu, H; Zhao, SJ; Huang, X; Xia, QM; Wen, CL; Jiang, L; Li, X; Wang, C</t>
  </si>
  <si>
    <t>Unsupervised 3D Object Detection by Commonsense Clue</t>
  </si>
  <si>
    <t>Traditional 3D object detectors, whether fully-, semi-, or weakly-supervised, rely heavily on extensive human annotations. In contrast, this paper introduces an unsupervised 3D object detector that automatically discerns object patterns without such annotations. To achieve this, we propose a Commonsense Prototype-based Detector (CPD) for unsupervised 3D object detection. CPD first constructs Commonsense Prototypes (CProto) to represent the geometric center and size of objects. It then generates high-quality pseudo-labels and guides detector convergence using size and geometry priors from CProto. Building on CPD, we further introduce CPD++, an enhanced version that improves performance by leveraging motion cues. CPD++ learns localization from stationary objects and recognition from moving objects, facilitating the mutual transfer of localization and recognition knowledge between these two object types. Both CPD and CPD++ outperform existing state-of-the-art unsupervised 3D detectors. Furthermore, when trained on Waymo Open Dataset (WOD) and tested on KITTI, CPD++ achieves 89.25% 3D Average Precision (AP) on the moderate car class at a 0.5 IoU threshold, reaching 95.3% of the performance attained by fully supervised counterparts. These results underscore the significant advancements brought by our method.</t>
  </si>
  <si>
    <t>WOS:001609561600026</t>
  </si>
  <si>
    <t>Lu, XH; Radha, H</t>
  </si>
  <si>
    <t>DALI: Domain Adaptive LiDAR Object Detection via Distribution-Level and Instance-Level Pseudolabel Denoising</t>
  </si>
  <si>
    <t>IEEE TRANSACTIONS ON ROBOTICS</t>
  </si>
  <si>
    <t>Object detection using LiDAR point clouds relies on a large amount of human-annotated samples when training the underlying detectors' deep neural networks. However, generating 3-D bounding box annotation for a large-scale dataset could be costly and time-consuming. Alternatively, unsupervised domain adaptation (UDA) enables a given object detector to operate on novel new data, with an unlabeled training dataset, by transferring the knowledge learned from training labeled source domain data to the new unlabeled target domain. Pseudolabel strategies, which involve training the 3-D object detector using target-domain predicted bounding boxes from a pretrained model, are commonly used in UDA. However, these pseudolabels often introduce noise, impacting performance. In this article, we introduce the domain adaptive LiDAR (DALI) object detection framework to address noise at both distribution and instance levels. First, a posttraining size normalization (PTSN) strategy is developed to mitigate bias in pseudolabel size distribution by identifying an unbiased scale after network training. To address instance-level noise between pseudolabels and corresponding point clouds, two pseudopoint clouds generation (PPCG) strategies, ray-constrained and constraint-free, are developed to generate pseudopoint clouds for each instance, ensuring the consistency between pseudolabels and pseudopoints during training. We demonstrate the effectiveness of our method on the publicly available and popular datasets KITTI, Waymo, and nuScenes. We show that the proposed DALI framework achieves state-of-the-art results and outperforms leading approaches on most of the domain adaptation tasks.</t>
  </si>
  <si>
    <t>WOS:001294288000003</t>
  </si>
  <si>
    <t>Sanchez, J; Soum-Fontez, L; Deschaud, JE; Goulette, F</t>
  </si>
  <si>
    <t>ParisLuco3D: A High-Quality Target Dataset for Domain Generalization of LiDAR Perception</t>
  </si>
  <si>
    <t>LiDAR is an essential sensor for autonomous driving by collecting precise geometric information regarding a scene. As the performance of various LiDAR perception tasks has improved, generalizations to new environments and sensors has emerged to test these optimized models in real-world conditions. Unfortunately, the various annotation strategies of data providers complicate the computation of cross-domain performances. This paper provides a novel dataset, ParisLuco3D, specifically designed for cross-domain evaluation to make it easier to evaluate the performance utilizing various source datasets. Alongside the dataset, online benchmarks for LiDAR semantic segmentation, LiDAR object detection, and LiDAR tracking are provided to ensure a fair comparison across methods.</t>
  </si>
  <si>
    <t>JUN</t>
  </si>
  <si>
    <t>WOS:001214578000009</t>
  </si>
  <si>
    <t>Ma, L; Sun, JF; Yang, XH; Lu, J; Lu, W; Zhou, X; Ni, HC</t>
  </si>
  <si>
    <t>Reconstruction method of 128 x 256 array single photon Lidar based on multi-domain stability feature fusion</t>
  </si>
  <si>
    <t>OPTICS AND LASER TECHNOLOGY</t>
  </si>
  <si>
    <t>Under low-light conditions, random light distribution and non-uniform pixel sensitivity reduce both the correlation and differences among pixels, while unstable intensity information significantly impairs the detection capability of Geiger-mode avalanche photodiode (GM-APD) arrays. To address these challenges, a method based on multi-domain stability feature fusion is proposed. This approach utilizes a distance layer decomposition model to break down the global problem into localized sub-problems, effectively suppressing background noise through the fusion of stable features. Additionally, the Multi-scale Algorithm (MSA) was enhanced to selectively recover missing pixels and improve target reconstruction while preserving details. In imaging experiments conducted on targets under low-light conditions at night within remote, complex scenes, when the photon number was 0.0068 per pixel, the proposed method improved the Peak Signal-to-Noise Ratio (PSNR) of the reconstructed images by more than 12 dB compared with the Non-local MSA. It significantly promotes the development of GM-APD lidar for all-time applications.</t>
  </si>
  <si>
    <t>WOS:001338840000001</t>
  </si>
  <si>
    <t>Ye, J; Zuo, FS; Qian, YQ</t>
  </si>
  <si>
    <t>FANet: Improving 3D Object Detection with Position Adaptation</t>
  </si>
  <si>
    <t>APPLIED SCIENCES-BASEL</t>
  </si>
  <si>
    <t>Three-dimensional object detection plays a crucial role in achieving accurate and reliable autonomous driving systems. However, the current state-of-the-art two-stage detectors lack flexibility and have limited feature extraction capabilities to effectively handle the disorder and irregularity of point clouds. In this paper, we propose a novel network called FANet, which combines the strengths of PV-RCNN and PAConv (position adaptive convolution). The goal of FANet is to address the irregularity and disorder present in point clouds. In our network, the convolution operation constructs convolutional kernels using a basic weight matrix, and the coefficients of these kernels are adaptively learned by LearnNet from relative points. This approach allows for the flexible modeling of complex spatial variations and geometric structures in 3D point clouds, leading to the improved extraction of point cloud features and generation of high-quality 3D proposal boxes. Compared to other methods, extensive experiments on the KITTI dataset have demonstrated that the FANet exhibits superior 3D object detection accuracy, showcasing a significant improvement in our approach.</t>
  </si>
  <si>
    <t>WOS:001028222700001</t>
  </si>
  <si>
    <t>Wang, HS; Chen, TK; Ji, XH; Qian, F; Ma, Y; Wang, SF</t>
  </si>
  <si>
    <t>LiDAR-camera-system-based unsupervised and weakly supervised 3D object detection</t>
  </si>
  <si>
    <t>JOURNAL OF THE OPTICAL SOCIETY OF AMERICA A-OPTICS IMAGE SCIENCE AND VISION</t>
  </si>
  <si>
    <t>LiDAR camera systems are now becoming an important part of autonomous driving 3D object detection. Due to limitations in time and resources, only a few critical frames of the synchronized camera data and acquired LiDAR points may be annotated. However, there is still a large amount of unannotated data in practical applications. Therefore, we propose a LiDAR-camera-system-based unsupervised and weakly supervised (LCUW) network as a novel 3D object-detection method. oen unannotated data are put into the network, we propose an independent learning mode, which is an unsupervised data preprocessing module. Meanwhile, for detection tasks with high accuracy requirements, we propose an Accompany Construction mode, which is a weakly supervised data preprocessing module that requires only a small amount of annotated data. Then, we generate high-quality training data from the remaining unlabeled data. We also propose a full aggregation bridge block in the feature-extraction part, which uses a stepwise fusion and deepening representation strategy to improve the accuracy. Our comparative, ablation, and runtime test experiments show that the proposed method performs well while advancing the application of LiDAR camera systems. (c) 2023 Optica Publishing Group</t>
  </si>
  <si>
    <t>OCT 1</t>
  </si>
  <si>
    <t>WOS:001086836300003</t>
  </si>
  <si>
    <t>Cai, MMX; Wang, XP; Sohel, F; Lei, H</t>
  </si>
  <si>
    <t>Unsupervised Anomaly Detection for Improving Adversarial Robustness of 3D Object Detection Models</t>
  </si>
  <si>
    <t>Three-dimensional object detection based on deep neural networks (DNNs) is widely used in safety-related applications, such as autonomous driving. However, existing research has shown that 3D object detection models are vulnerable to adversarial attacks. Hence, the improvement on the robustness of deep 3D detection models under adversarial attacks is investigated in this work. A deep autoencoder-based anomaly detection method is proposed, which has a strong ability to detect elaborate adversarial samples in an unsupervised way. The proposed anomaly detection method operates on a given Light Detection and Ranging (LiDAR) scene in its Bird's Eye View (BEV) image and reconstructs the scene through an autoencoder. To improve the performance of the autoencoder, an augmented memory module with typical normal patterns recorded is introduced. It is designed to help the model to amplify the reconstruction errors of malicious samples with normal samples negligibly affected. Experiments on several public datasets show that the proposed anomaly detection method achieves an AUC of 0.8 under adversarial attacks and improves the robustness of 3D object detection.</t>
  </si>
  <si>
    <t>JAN</t>
  </si>
  <si>
    <t>WOS:001405263900001</t>
  </si>
  <si>
    <t>Wang, LY; Zhuo, JB; Zhao, JH; Jiang, JF; Xing, JL; Chen, JS; Ma, HM</t>
  </si>
  <si>
    <t>Near2Far: Clustering and propagating near pseudo labels for unsupervised 3D object detection</t>
  </si>
  <si>
    <t>PATTERN RECOGNITION</t>
  </si>
  <si>
    <t>Unsupervised 3D object detection methods leverage large amounts of unlabeled data, without using manually annotated 3D bounding boxes in the training set. Existing approaches typically rely on predefined object templates and focus primarily on object size, often overlooking other discriminative features. Additionally, the sparsity and noise inherent in long-range point clouds introduce unreliable pseudo-labels into the self-training process, thereby degrading the overall model performance. To tackle these challenges, we introduce Near2Far, an unsupervised 3D object detection method that generates pseudo-labels by clustering near-range points and then progressively propagates these pseudo-labels to long-range regions. First, Near2Far generates initial proposals by clustering dense point clouds in the near-range areas. It then integrates geometric features with self-supervised semantic features in these proposals to improve the object recall rate. Finally, we introduce a pseudo-label propagation mechanism that leverages spatio-temporal consistency to propagate high-quality pseudo-labels to distant regions. Experimental results demonstrate that Near2Far achieves improvements of 6.67% AP3D over state-of-the-art methods on the Waymo open dataset, and 4.10% AP3D on the PandaSet dataset.</t>
  </si>
  <si>
    <t>WOS:001858305100001</t>
  </si>
  <si>
    <t>An, P; Liang, JX; Ma, T; Chen, YF; Wang, LH; Ma, J</t>
  </si>
  <si>
    <t>ProUDA: Progressive unsupervised data augmentation for semi-Supervised 3D object detection on point cloud</t>
  </si>
  <si>
    <t>PATTERN RECOGNITION LETTERS</t>
  </si>
  <si>
    <t>Unsupervised data augmentation (UDA) is a simple and general semi-supervised learning (SSL) frame-work. However, for the task of semi-supervised 3D object detection (SSOD-3D), due to the impact of object occlusion and point cloud resolution, the quality of pseudo labels is uncertain so that the perfor-mance of UDA is limited. In this paper, We propose an efficient and novel SSL framework progressive unsupervised data augmentation (ProUDA). At first, to minimize the overfitting risk of the inaccurate pseudo labels, we sort the unlabeled samples by prediction complexity, and present a progressive consis-tency loss to adjust the usage ratio of the unlabeled samples. After that, we employ a strategy of iteration check to select the best learning result using a few but representative validation dataset annotated from the unlabeled samples. It ensures the safe model weight updating. Extensive experiments are conducted on both the public indoor and outdoor 3D object detection datasets. Results demonstrate that ProUDA has better 3D average precision than UDA and the proposed method benefits to 3D object detector training.(c) 2023 Published by Elsevier B.V.</t>
  </si>
  <si>
    <t>WOS:001005383100001</t>
  </si>
  <si>
    <t>Chung, D; Cho, S; Kim, Y; Im, S; Kim, H</t>
  </si>
  <si>
    <t>Robust real-time 3D perception for construction equipment using a three-stage synthetic-to-real learning framework</t>
  </si>
  <si>
    <t>AUTOMATION IN CONSTRUCTION</t>
  </si>
  <si>
    <t>Robust real-time 3D detection of diverse construction equipment is essential for safe autonomous robot operation in dynamic construction sites, but the difficulty of acquiring sufficient training data constrains practical development. This paper develops a robust detection system with limited real data through a framework combining large-scale synthetic data generation and three-stage synthetic-to-real learning. The synthetic data generation system automatically constructs large-scale datasets by simulating diverse construction equipment scenes. The three-stage learning framework consists of (1) supervised pre-training on large-scale synthetic data, (2) selfsupervised feature adaptation using real data, and (3) supervised fine-tuning on real data. Experimental results show that the proposed method achieved 80.45% mAP@R40 on four construction equipment classes, surpassing the baseline VoxelNeXt trained only on real data (72.19%). Notably, when real training data was drastically reduced, the baseline plummeted to 52.79% while the proposed method maintained 70.15% performance, demonstrating superior data efficiency and robustness on an unseen site.</t>
  </si>
  <si>
    <t>WOS:001750624100001</t>
  </si>
  <si>
    <t>Rhemrev, T; de Jong, E; van Triest, G; Kalkman, R; Pronk, J; Pandharipande, A; Myers, NJ</t>
  </si>
  <si>
    <t>ELLAS: Enhancing LiDAR Perception With Location-Aware Scanning Profile Adaptation</t>
  </si>
  <si>
    <t>IEEE SENSORS JOURNAL</t>
  </si>
  <si>
    <t>Light detection and ranging (LiDAR) is used in robots and in automotives to obtain the perception of the surrounding environment. Traditional spinning LiDARs scan the environment uniformly along all angular directions by operating at a constant rotational speed, with fixed sensing parameters throughout a rotation. Such a sensing approach, however, is suboptimal when information about static obstacles in the environment is available at the LiDAR. In this work, we introduce ELLAS, a first-of-its-kind spinning LiDAR system that dynamically adapts its range and resolution over the field of view. This adaptation is achieved by optimizing the ranging parameters at the LiDAR and the instantaneous rotational speed of the spinning platform to the location of static objects in scene topology maps. With the optimized settings, ELLAS results in a longer range along directions where static obstacles are farther away and achieves a higher angular resolution around those directions.</t>
  </si>
  <si>
    <t>MAR 1</t>
  </si>
  <si>
    <t>WOS:001438192900008</t>
  </si>
  <si>
    <t>Park, DG; Jung, TN; Kim, JG; Lee, SH; Oh, ES; Kim, DH</t>
  </si>
  <si>
    <t>DBSCAN and Yolov5 based 3D object detection and its adaptation to a mobile platform</t>
  </si>
  <si>
    <t>MECHATRONICS</t>
  </si>
  <si>
    <t>This study presents a 3D object detection technology for mobile platforms and its application. Rather than an innovative high-performance model, we proposed a useable model for the robot industry at the current technology stage by combining various techniques. To reduce computation time, a 2D region proposal was obtained using a RGB image-based CNN model. By applying the DBSCAN clustering technique to the point cloud corresponding to the 2D region proposal, a method of obtaining a 3D region proposal was proposed. This allowed for 3D object detection using an RGB image dataset, which has been widely researched, while reducing the computation load to a level suitable for use in mobile robots. Furthermore, the 3D object detection was integrated into a ROS 2-based mobile platform, which was used to perform pedestrian-safe avoidance tasks and elevator button operation tasks. The performance was confirmed through experiments.</t>
  </si>
  <si>
    <t>NOV</t>
  </si>
  <si>
    <t>WOS:001297585100001</t>
  </si>
  <si>
    <t>Lim, C; Vishwanath, D; Domini, F</t>
  </si>
  <si>
    <t>Sensorimotor adaptation reveals systematic biases in 3D perception</t>
  </si>
  <si>
    <t>SCIENTIFIC REPORTS</t>
  </si>
  <si>
    <t>The existence of biases in visual perception and their impact on visually guided actions has long been a fundamental yet unresolved question. Evidence revealing perceptual or visuomotor biases has typically been disregarded because such biases in spatial judgments can often be attributed to experimental measurement confounds. To resolve this controversy, we leveraged the visuomotor system's adaptation mechanism - triggered only by a discrepancy between visual estimates and sensory feedback - to directly indicate whether systematic errors in perceptual and visuomotor spatial judgments exist. To resolve this controversy, we leveraged the adaptive mechanisms of the visuomotor system to directly reveal whether systematic biases or errors in perceptual and visuomotor spatial judgments exist. In a within-subject study (N=24), participants grasped a virtual 3D object with varying numbers of depth cues (single vs. multiple) while receiving haptic feedback. The resulting visuomotor adaptations and aftereffects demonstrated that the planned grip size, determined by the visually perceived depth of the object, was consistently overestimated. This overestimation intensified when multiple cues were present, despite no actual change in physical depth. These findings conclusively confirm the presence of inherent biases in visual estimates for both perception and action, and highlight the potential use of visuomotor adaptation as a novel tool for understanding perceptual biases.</t>
  </si>
  <si>
    <t>JAN 31</t>
  </si>
  <si>
    <t>WOS:001410022400001</t>
  </si>
  <si>
    <t>Jiang, D; Cao, Y; Yang, Q</t>
  </si>
  <si>
    <t>Unsupervised Monocular 3D Detection of Power Distribution Equipment Using Random Rendering and Recovery</t>
  </si>
  <si>
    <t>IEEE TRANSACTIONS ON INDUSTRIAL INFORMATICS</t>
  </si>
  <si>
    <t>Detecting power equipment using by neural network-based detector is the fundamental task of unmanned aerial vehicle-mediated distribution lines inspection. Suffering from the heavy annotation burden of existing fully-supervised methods, this article proposes a novel Random Rendering and Recovery (R-3) framework to explore the unsupervised detection of distribution equipment. In the R-3 framework, the 3D model is employed to provide richer equipment prior instead of manual structures, which enables the detector's monocular 2D and 3D detection ability without relying on any other annotations or pretrained weights. In total 1 60 761 distribution images with 8 equipment categories are collected to verify the adaptability and effectiveness of the proposed method. The numerical results show that R-3 achieves a 31.3 AP in the unsupervised detection task, significantly exceeding general methods such as Cutler (4.7) or FreeSOLO (2.3). Besides, R-3 can also serve as an advanced pretraining method to improve existing fully-supervised methods with unlabeled images.</t>
  </si>
  <si>
    <t>WOS:001643514100001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</si>
</sst>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1">
    <font>
      <sz val="10"/>
      <name val="Arial"/>
      <charset val="0"/>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tabSelected="1" zoomScale="145" zoomScaleNormal="145" zoomScaleSheetLayoutView="60" workbookViewId="0">
      <selection activeCell="A1" sqref="A1"/>
    </sheetView>
  </sheetViews>
  <sheetFormatPr defaultColWidth="9.14285714285714" defaultRowHeight="13.5"/>
  <cols>
    <col min="1" max="2" width="60.7142857142857" style="1" customWidth="1"/>
    <col min="3" max="3" width="59.7142857142857" style="1" customWidth="1"/>
    <col min="4" max="4" width="60.7142857142857" style="1" customWidth="1"/>
    <col min="5" max="6" width="13.7142857142857" style="1" customWidth="1"/>
    <col min="7" max="7" width="6.85714285714286" style="1" customWidth="1"/>
    <col min="8" max="8" width="4.57142857142857" style="1" customWidth="1"/>
    <col min="9" max="9" width="8.42857142857143" style="1" customWidth="1"/>
    <col min="10" max="10" width="8" style="1" customWidth="1"/>
    <col min="11" max="11" width="43.2857142857143" style="1" customWidth="1"/>
    <col min="12" max="197" width="60.7142857142857" style="1" customWidth="1"/>
    <col min="198" max="198" width="60.7142857142857" style="1"/>
    <col min="199" max="16384" width="9.14285714285714" style="1"/>
  </cols>
  <sheetData>
    <row r="1" spans="1:12">
      <c r="A1" s="1" t="s">
        <v>0</v>
      </c>
      <c r="B1" s="1" t="s">
        <v>1</v>
      </c>
      <c r="C1" s="1" t="s">
        <v>2</v>
      </c>
      <c r="D1" s="1" t="s">
        <v>3</v>
      </c>
      <c r="E1" s="1" t="s">
        <v>4</v>
      </c>
      <c r="F1" s="1" t="s">
        <v>5</v>
      </c>
      <c r="G1" s="1" t="s">
        <v>6</v>
      </c>
      <c r="H1" s="1" t="s">
        <v>7</v>
      </c>
      <c r="I1" s="1" t="s">
        <v>8</v>
      </c>
      <c r="J1" s="1" t="s">
        <v>9</v>
      </c>
      <c r="K1" s="1" t="s">
        <v>10</v>
      </c>
      <c r="L1" s="1" t="s">
        <v>11</v>
      </c>
    </row>
    <row r="2" ht="175.5" spans="1:12">
      <c r="A2" s="1" t="s">
        <v>12</v>
      </c>
      <c r="B2" s="1" t="s">
        <v>13</v>
      </c>
      <c r="C2" s="1" t="s">
        <v>14</v>
      </c>
      <c r="D2" s="1" t="s">
        <v>15</v>
      </c>
      <c r="E2" s="1" t="s">
        <v>16</v>
      </c>
      <c r="F2" s="1">
        <v>2025</v>
      </c>
      <c r="G2" s="1">
        <v>25</v>
      </c>
      <c r="H2" s="1">
        <v>3</v>
      </c>
      <c r="I2" s="1" t="s">
        <v>17</v>
      </c>
      <c r="J2" s="1" t="s">
        <v>17</v>
      </c>
      <c r="K2" s="1" t="str">
        <f>HYPERLINK("http://dx.doi.org/10.3390/s25030767","http://dx.doi.org/10.3390/s25030767")</f>
        <v>http://dx.doi.org/10.3390/s25030767</v>
      </c>
      <c r="L2" s="1" t="s">
        <v>18</v>
      </c>
    </row>
    <row r="3" ht="337.5" spans="1:12">
      <c r="A3" s="1" t="s">
        <v>19</v>
      </c>
      <c r="B3" s="1" t="s">
        <v>20</v>
      </c>
      <c r="C3" s="1" t="s">
        <v>21</v>
      </c>
      <c r="D3" s="1" t="s">
        <v>22</v>
      </c>
      <c r="E3" s="1" t="s">
        <v>23</v>
      </c>
      <c r="F3" s="1">
        <v>2023</v>
      </c>
      <c r="G3" s="1">
        <v>45</v>
      </c>
      <c r="H3" s="1">
        <v>5</v>
      </c>
      <c r="I3" s="1">
        <v>6354</v>
      </c>
      <c r="J3" s="1">
        <v>6371</v>
      </c>
      <c r="K3" s="1" t="str">
        <f>HYPERLINK("http://dx.doi.org/10.1109/TPAMI.2022.3216606","http://dx.doi.org/10.1109/TPAMI.2022.3216606")</f>
        <v>http://dx.doi.org/10.1109/TPAMI.2022.3216606</v>
      </c>
      <c r="L3" s="1" t="s">
        <v>24</v>
      </c>
    </row>
    <row r="4" ht="324" spans="1:12">
      <c r="A4" s="1" t="s">
        <v>25</v>
      </c>
      <c r="B4" s="1" t="s">
        <v>26</v>
      </c>
      <c r="C4" s="1" t="s">
        <v>27</v>
      </c>
      <c r="D4" s="1" t="s">
        <v>28</v>
      </c>
      <c r="E4" s="1" t="s">
        <v>17</v>
      </c>
      <c r="F4" s="1">
        <v>2024</v>
      </c>
      <c r="G4" s="1">
        <v>33</v>
      </c>
      <c r="H4" s="1" t="s">
        <v>17</v>
      </c>
      <c r="I4" s="1">
        <v>6227</v>
      </c>
      <c r="J4" s="1">
        <v>6240</v>
      </c>
      <c r="K4" s="1" t="str">
        <f>HYPERLINK("http://dx.doi.org/10.1109/TIP.2024.3482976","http://dx.doi.org/10.1109/TIP.2024.3482976")</f>
        <v>http://dx.doi.org/10.1109/TIP.2024.3482976</v>
      </c>
      <c r="L4" s="1" t="s">
        <v>29</v>
      </c>
    </row>
    <row r="5" ht="351" spans="1:12">
      <c r="A5" s="1" t="s">
        <v>30</v>
      </c>
      <c r="B5" s="1" t="s">
        <v>31</v>
      </c>
      <c r="C5" s="1" t="s">
        <v>32</v>
      </c>
      <c r="D5" s="1" t="s">
        <v>33</v>
      </c>
      <c r="E5" s="1" t="s">
        <v>34</v>
      </c>
      <c r="F5" s="1">
        <v>2025</v>
      </c>
      <c r="G5" s="1">
        <v>35</v>
      </c>
      <c r="H5" s="1">
        <v>5</v>
      </c>
      <c r="I5" s="1">
        <v>5109</v>
      </c>
      <c r="J5" s="1">
        <v>5122</v>
      </c>
      <c r="K5" s="1" t="str">
        <f>HYPERLINK("http://dx.doi.org/10.1109/TCSVT.2024.3523049","http://dx.doi.org/10.1109/TCSVT.2024.3523049")</f>
        <v>http://dx.doi.org/10.1109/TCSVT.2024.3523049</v>
      </c>
      <c r="L5" s="1" t="s">
        <v>35</v>
      </c>
    </row>
    <row r="6" ht="297" spans="1:12">
      <c r="A6" s="1" t="s">
        <v>36</v>
      </c>
      <c r="B6" s="1" t="s">
        <v>37</v>
      </c>
      <c r="C6" s="1" t="s">
        <v>38</v>
      </c>
      <c r="D6" s="1" t="s">
        <v>39</v>
      </c>
      <c r="E6" s="1" t="s">
        <v>40</v>
      </c>
      <c r="F6" s="1">
        <v>2025</v>
      </c>
      <c r="G6" s="1">
        <v>19</v>
      </c>
      <c r="H6" s="1">
        <v>12</v>
      </c>
      <c r="I6" s="1" t="s">
        <v>17</v>
      </c>
      <c r="J6" s="1" t="s">
        <v>17</v>
      </c>
      <c r="K6" s="1" t="str">
        <f>HYPERLINK("http://dx.doi.org/10.1007/s11760-025-04580-z","http://dx.doi.org/10.1007/s11760-025-04580-z")</f>
        <v>http://dx.doi.org/10.1007/s11760-025-04580-z</v>
      </c>
      <c r="L6" s="1" t="s">
        <v>41</v>
      </c>
    </row>
    <row r="7" ht="243" spans="1:12">
      <c r="A7" s="1" t="s">
        <v>42</v>
      </c>
      <c r="B7" s="1" t="s">
        <v>43</v>
      </c>
      <c r="C7" s="1" t="s">
        <v>44</v>
      </c>
      <c r="D7" s="1" t="s">
        <v>45</v>
      </c>
      <c r="E7" s="1" t="s">
        <v>46</v>
      </c>
      <c r="F7" s="1">
        <v>2022</v>
      </c>
      <c r="G7" s="1">
        <v>26</v>
      </c>
      <c r="H7" s="1">
        <v>3</v>
      </c>
      <c r="I7" s="1">
        <v>1034</v>
      </c>
      <c r="J7" s="1">
        <v>1044</v>
      </c>
      <c r="K7" s="1" t="str">
        <f>HYPERLINK("http://dx.doi.org/10.1109/JBHI.2021.3107532","http://dx.doi.org/10.1109/JBHI.2021.3107532")</f>
        <v>http://dx.doi.org/10.1109/JBHI.2021.3107532</v>
      </c>
      <c r="L7" s="1" t="s">
        <v>47</v>
      </c>
    </row>
    <row r="8" ht="270" spans="1:12">
      <c r="A8" s="1" t="s">
        <v>48</v>
      </c>
      <c r="B8" s="1" t="s">
        <v>49</v>
      </c>
      <c r="C8" s="1" t="s">
        <v>32</v>
      </c>
      <c r="D8" s="1" t="s">
        <v>50</v>
      </c>
      <c r="E8" s="1" t="s">
        <v>51</v>
      </c>
      <c r="F8" s="1">
        <v>2025</v>
      </c>
      <c r="G8" s="1">
        <v>35</v>
      </c>
      <c r="H8" s="1">
        <v>7</v>
      </c>
      <c r="I8" s="1">
        <v>6273</v>
      </c>
      <c r="J8" s="1">
        <v>6285</v>
      </c>
      <c r="K8" s="1" t="str">
        <f>HYPERLINK("http://dx.doi.org/10.1109/TCSVT.2025.3538770","http://dx.doi.org/10.1109/TCSVT.2025.3538770")</f>
        <v>http://dx.doi.org/10.1109/TCSVT.2025.3538770</v>
      </c>
      <c r="L8" s="1" t="s">
        <v>52</v>
      </c>
    </row>
    <row r="9" ht="337.5" spans="1:12">
      <c r="A9" s="1" t="s">
        <v>53</v>
      </c>
      <c r="B9" s="1" t="s">
        <v>54</v>
      </c>
      <c r="C9" s="1" t="s">
        <v>55</v>
      </c>
      <c r="D9" s="1" t="s">
        <v>56</v>
      </c>
      <c r="E9" s="1" t="s">
        <v>16</v>
      </c>
      <c r="F9" s="1">
        <v>2024</v>
      </c>
      <c r="G9" s="1">
        <v>9</v>
      </c>
      <c r="H9" s="1">
        <v>2</v>
      </c>
      <c r="I9" s="1">
        <v>3478</v>
      </c>
      <c r="J9" s="1">
        <v>3492</v>
      </c>
      <c r="K9" s="1" t="str">
        <f>HYPERLINK("http://dx.doi.org/10.1109/TIV.2023.3343878","http://dx.doi.org/10.1109/TIV.2023.3343878")</f>
        <v>http://dx.doi.org/10.1109/TIV.2023.3343878</v>
      </c>
      <c r="L9" s="1" t="s">
        <v>57</v>
      </c>
    </row>
    <row r="10" ht="324" spans="1:12">
      <c r="A10" s="1" t="s">
        <v>58</v>
      </c>
      <c r="B10" s="1" t="s">
        <v>59</v>
      </c>
      <c r="C10" s="1" t="s">
        <v>21</v>
      </c>
      <c r="D10" s="1" t="s">
        <v>60</v>
      </c>
      <c r="E10" s="1" t="s">
        <v>61</v>
      </c>
      <c r="F10" s="1">
        <v>2026</v>
      </c>
      <c r="G10" s="1">
        <v>48</v>
      </c>
      <c r="H10" s="1">
        <v>9</v>
      </c>
      <c r="I10" s="1">
        <v>11027</v>
      </c>
      <c r="J10" s="1">
        <v>11043</v>
      </c>
      <c r="K10" s="1" t="str">
        <f>HYPERLINK("http://dx.doi.org/10.1109/TPAMI.2026.3688543","http://dx.doi.org/10.1109/TPAMI.2026.3688543")</f>
        <v>http://dx.doi.org/10.1109/TPAMI.2026.3688543</v>
      </c>
      <c r="L10" s="1" t="s">
        <v>62</v>
      </c>
    </row>
    <row r="11" ht="175.5" spans="1:12">
      <c r="A11" s="1" t="s">
        <v>63</v>
      </c>
      <c r="B11" s="1" t="s">
        <v>64</v>
      </c>
      <c r="C11" s="1" t="s">
        <v>65</v>
      </c>
      <c r="D11" s="1" t="s">
        <v>66</v>
      </c>
      <c r="E11" s="1" t="s">
        <v>67</v>
      </c>
      <c r="F11" s="1">
        <v>2024</v>
      </c>
      <c r="G11" s="1">
        <v>9</v>
      </c>
      <c r="H11" s="1">
        <v>12</v>
      </c>
      <c r="I11" s="1">
        <v>11210</v>
      </c>
      <c r="J11" s="1">
        <v>11217</v>
      </c>
      <c r="K11" s="1" t="str">
        <f>HYPERLINK("http://dx.doi.org/10.1109/LRA.2024.3487489","http://dx.doi.org/10.1109/LRA.2024.3487489")</f>
        <v>http://dx.doi.org/10.1109/LRA.2024.3487489</v>
      </c>
      <c r="L11" s="1" t="s">
        <v>68</v>
      </c>
    </row>
    <row r="12" ht="216" spans="1:12">
      <c r="A12" s="1" t="s">
        <v>69</v>
      </c>
      <c r="B12" s="1" t="s">
        <v>70</v>
      </c>
      <c r="C12" s="1" t="s">
        <v>71</v>
      </c>
      <c r="D12" s="1" t="s">
        <v>72</v>
      </c>
      <c r="E12" s="1" t="s">
        <v>73</v>
      </c>
      <c r="F12" s="1">
        <v>2021</v>
      </c>
      <c r="G12" s="1">
        <v>10</v>
      </c>
      <c r="H12" s="1">
        <v>8</v>
      </c>
      <c r="I12" s="1" t="s">
        <v>17</v>
      </c>
      <c r="J12" s="1" t="s">
        <v>17</v>
      </c>
      <c r="K12" s="1" t="str">
        <f>HYPERLINK("http://dx.doi.org/10.3390/electronics10080927","http://dx.doi.org/10.3390/electronics10080927")</f>
        <v>http://dx.doi.org/10.3390/electronics10080927</v>
      </c>
      <c r="L12" s="1" t="s">
        <v>74</v>
      </c>
    </row>
    <row r="13" ht="202.5" spans="1:12">
      <c r="A13" s="1" t="s">
        <v>75</v>
      </c>
      <c r="B13" s="1" t="s">
        <v>76</v>
      </c>
      <c r="C13" s="1" t="s">
        <v>65</v>
      </c>
      <c r="D13" s="1" t="s">
        <v>77</v>
      </c>
      <c r="E13" s="1" t="s">
        <v>78</v>
      </c>
      <c r="F13" s="1">
        <v>2021</v>
      </c>
      <c r="G13" s="1">
        <v>6</v>
      </c>
      <c r="H13" s="1">
        <v>4</v>
      </c>
      <c r="I13" s="1">
        <v>6662</v>
      </c>
      <c r="J13" s="1">
        <v>6669</v>
      </c>
      <c r="K13" s="1" t="str">
        <f>HYPERLINK("http://dx.doi.org/10.1109/LRA.2021.3093869","http://dx.doi.org/10.1109/LRA.2021.3093869")</f>
        <v>http://dx.doi.org/10.1109/LRA.2021.3093869</v>
      </c>
      <c r="L13" s="1" t="s">
        <v>79</v>
      </c>
    </row>
    <row r="14" ht="351" spans="1:12">
      <c r="A14" s="1" t="s">
        <v>80</v>
      </c>
      <c r="B14" s="1" t="s">
        <v>81</v>
      </c>
      <c r="C14" s="1" t="s">
        <v>82</v>
      </c>
      <c r="D14" s="1" t="s">
        <v>83</v>
      </c>
      <c r="E14" s="1" t="s">
        <v>84</v>
      </c>
      <c r="F14" s="1">
        <v>2025</v>
      </c>
      <c r="G14" s="1">
        <v>268</v>
      </c>
      <c r="H14" s="1" t="s">
        <v>17</v>
      </c>
      <c r="I14" s="1" t="s">
        <v>17</v>
      </c>
      <c r="J14" s="1" t="s">
        <v>17</v>
      </c>
      <c r="K14" s="1" t="str">
        <f>HYPERLINK("http://dx.doi.org/10.1016/j.eswa.2024.126359","http://dx.doi.org/10.1016/j.eswa.2024.126359")</f>
        <v>http://dx.doi.org/10.1016/j.eswa.2024.126359</v>
      </c>
      <c r="L14" s="1" t="s">
        <v>85</v>
      </c>
    </row>
    <row r="15" ht="283.5" spans="1:12">
      <c r="A15" s="1" t="s">
        <v>86</v>
      </c>
      <c r="B15" s="1" t="s">
        <v>87</v>
      </c>
      <c r="C15" s="1" t="s">
        <v>88</v>
      </c>
      <c r="D15" s="1" t="s">
        <v>89</v>
      </c>
      <c r="E15" s="1" t="s">
        <v>61</v>
      </c>
      <c r="F15" s="1">
        <v>2026</v>
      </c>
      <c r="G15" s="1">
        <v>175</v>
      </c>
      <c r="H15" s="1" t="s">
        <v>17</v>
      </c>
      <c r="I15" s="1" t="s">
        <v>17</v>
      </c>
      <c r="J15" s="1" t="s">
        <v>17</v>
      </c>
      <c r="K15" s="1" t="str">
        <f>HYPERLINK("http://dx.doi.org/10.1016/j.tust.2026.107777","http://dx.doi.org/10.1016/j.tust.2026.107777")</f>
        <v>http://dx.doi.org/10.1016/j.tust.2026.107777</v>
      </c>
      <c r="L15" s="1" t="s">
        <v>90</v>
      </c>
    </row>
    <row r="16" ht="216" spans="1:12">
      <c r="A16" s="1" t="s">
        <v>91</v>
      </c>
      <c r="B16" s="1" t="s">
        <v>92</v>
      </c>
      <c r="C16" s="1" t="s">
        <v>65</v>
      </c>
      <c r="D16" s="1" t="s">
        <v>93</v>
      </c>
      <c r="E16" s="1" t="s">
        <v>51</v>
      </c>
      <c r="F16" s="1">
        <v>2022</v>
      </c>
      <c r="G16" s="1">
        <v>7</v>
      </c>
      <c r="H16" s="1">
        <v>3</v>
      </c>
      <c r="I16" s="1">
        <v>7904</v>
      </c>
      <c r="J16" s="1">
        <v>7911</v>
      </c>
      <c r="K16" s="1" t="str">
        <f>HYPERLINK("http://dx.doi.org/10.1109/LRA.2022.3185783","http://dx.doi.org/10.1109/LRA.2022.3185783")</f>
        <v>http://dx.doi.org/10.1109/LRA.2022.3185783</v>
      </c>
      <c r="L16" s="1" t="s">
        <v>94</v>
      </c>
    </row>
    <row r="17" ht="270" spans="1:12">
      <c r="A17" s="1" t="s">
        <v>95</v>
      </c>
      <c r="B17" s="1" t="s">
        <v>96</v>
      </c>
      <c r="C17" s="1" t="s">
        <v>97</v>
      </c>
      <c r="D17" s="1" t="s">
        <v>98</v>
      </c>
      <c r="E17" s="1" t="s">
        <v>51</v>
      </c>
      <c r="F17" s="1">
        <v>2026</v>
      </c>
      <c r="G17" s="1">
        <v>27</v>
      </c>
      <c r="H17" s="1">
        <v>7</v>
      </c>
      <c r="I17" s="1">
        <v>8698</v>
      </c>
      <c r="J17" s="1">
        <v>8709</v>
      </c>
      <c r="K17" s="1" t="str">
        <f>HYPERLINK("http://dx.doi.org/10.1109/TITS.2026.3670713","http://dx.doi.org/10.1109/TITS.2026.3670713")</f>
        <v>http://dx.doi.org/10.1109/TITS.2026.3670713</v>
      </c>
      <c r="L17" s="1" t="s">
        <v>99</v>
      </c>
    </row>
    <row r="18" ht="310.5" spans="1:12">
      <c r="A18" s="1" t="s">
        <v>100</v>
      </c>
      <c r="B18" s="1" t="s">
        <v>101</v>
      </c>
      <c r="C18" s="1" t="s">
        <v>102</v>
      </c>
      <c r="D18" s="1" t="s">
        <v>103</v>
      </c>
      <c r="E18" s="1" t="s">
        <v>104</v>
      </c>
      <c r="F18" s="1">
        <v>2026</v>
      </c>
      <c r="G18" s="1">
        <v>17</v>
      </c>
      <c r="H18" s="1">
        <v>1</v>
      </c>
      <c r="I18" s="1" t="s">
        <v>17</v>
      </c>
      <c r="J18" s="1" t="s">
        <v>17</v>
      </c>
      <c r="K18" s="1" t="str">
        <f>HYPERLINK("http://dx.doi.org/10.1080/19475705.2026.2659167","http://dx.doi.org/10.1080/19475705.2026.2659167")</f>
        <v>http://dx.doi.org/10.1080/19475705.2026.2659167</v>
      </c>
      <c r="L18" s="1" t="s">
        <v>105</v>
      </c>
    </row>
    <row r="19" ht="243" spans="1:12">
      <c r="A19" s="1" t="s">
        <v>106</v>
      </c>
      <c r="B19" s="1" t="s">
        <v>107</v>
      </c>
      <c r="C19" s="1" t="s">
        <v>108</v>
      </c>
      <c r="D19" s="1" t="s">
        <v>109</v>
      </c>
      <c r="E19" s="1" t="s">
        <v>16</v>
      </c>
      <c r="F19" s="1">
        <v>2026</v>
      </c>
      <c r="G19" s="1">
        <v>22</v>
      </c>
      <c r="H19" s="1">
        <v>2</v>
      </c>
      <c r="I19" s="1" t="s">
        <v>17</v>
      </c>
      <c r="J19" s="1" t="s">
        <v>17</v>
      </c>
      <c r="K19" s="1" t="str">
        <f>HYPERLINK("http://dx.doi.org/10.1145/3788675","http://dx.doi.org/10.1145/3788675")</f>
        <v>http://dx.doi.org/10.1145/3788675</v>
      </c>
      <c r="L19" s="1" t="s">
        <v>110</v>
      </c>
    </row>
    <row r="20" ht="256.5" spans="1:12">
      <c r="A20" s="1" t="s">
        <v>111</v>
      </c>
      <c r="B20" s="1" t="s">
        <v>112</v>
      </c>
      <c r="C20" s="1" t="s">
        <v>21</v>
      </c>
      <c r="D20" s="1" t="s">
        <v>113</v>
      </c>
      <c r="E20" s="1" t="s">
        <v>67</v>
      </c>
      <c r="F20" s="1">
        <v>2025</v>
      </c>
      <c r="G20" s="1">
        <v>47</v>
      </c>
      <c r="H20" s="1">
        <v>12</v>
      </c>
      <c r="I20" s="1">
        <v>11720</v>
      </c>
      <c r="J20" s="1">
        <v>11737</v>
      </c>
      <c r="K20" s="1" t="str">
        <f>HYPERLINK("http://dx.doi.org/10.1109/TPAMI.2025.3598341","http://dx.doi.org/10.1109/TPAMI.2025.3598341")</f>
        <v>http://dx.doi.org/10.1109/TPAMI.2025.3598341</v>
      </c>
      <c r="L20" s="1" t="s">
        <v>114</v>
      </c>
    </row>
    <row r="21" ht="310.5" spans="1:12">
      <c r="A21" s="1" t="s">
        <v>115</v>
      </c>
      <c r="B21" s="1" t="s">
        <v>116</v>
      </c>
      <c r="C21" s="1" t="s">
        <v>117</v>
      </c>
      <c r="D21" s="1" t="s">
        <v>118</v>
      </c>
      <c r="E21" s="1" t="s">
        <v>17</v>
      </c>
      <c r="F21" s="1">
        <v>2024</v>
      </c>
      <c r="G21" s="1">
        <v>40</v>
      </c>
      <c r="H21" s="1" t="s">
        <v>17</v>
      </c>
      <c r="I21" s="1">
        <v>3866</v>
      </c>
      <c r="J21" s="1">
        <v>3878</v>
      </c>
      <c r="K21" s="1" t="str">
        <f>HYPERLINK("http://dx.doi.org/10.1109/TRO.2024.3435387","http://dx.doi.org/10.1109/TRO.2024.3435387")</f>
        <v>http://dx.doi.org/10.1109/TRO.2024.3435387</v>
      </c>
      <c r="L21" s="1" t="s">
        <v>119</v>
      </c>
    </row>
    <row r="22" ht="148.5" spans="1:12">
      <c r="A22" s="1" t="s">
        <v>120</v>
      </c>
      <c r="B22" s="1" t="s">
        <v>121</v>
      </c>
      <c r="C22" s="1" t="s">
        <v>65</v>
      </c>
      <c r="D22" s="1" t="s">
        <v>122</v>
      </c>
      <c r="E22" s="1" t="s">
        <v>123</v>
      </c>
      <c r="F22" s="1">
        <v>2024</v>
      </c>
      <c r="G22" s="1">
        <v>9</v>
      </c>
      <c r="H22" s="1">
        <v>6</v>
      </c>
      <c r="I22" s="1">
        <v>5496</v>
      </c>
      <c r="J22" s="1">
        <v>5503</v>
      </c>
      <c r="K22" s="1" t="str">
        <f>HYPERLINK("http://dx.doi.org/10.1109/LRA.2024.3393209","http://dx.doi.org/10.1109/LRA.2024.3393209")</f>
        <v>http://dx.doi.org/10.1109/LRA.2024.3393209</v>
      </c>
      <c r="L22" s="1" t="s">
        <v>124</v>
      </c>
    </row>
    <row r="23" ht="216" spans="1:12">
      <c r="A23" s="1" t="s">
        <v>125</v>
      </c>
      <c r="B23" s="1" t="s">
        <v>126</v>
      </c>
      <c r="C23" s="1" t="s">
        <v>127</v>
      </c>
      <c r="D23" s="1" t="s">
        <v>128</v>
      </c>
      <c r="E23" s="1" t="s">
        <v>16</v>
      </c>
      <c r="F23" s="1">
        <v>2025</v>
      </c>
      <c r="G23" s="1">
        <v>181</v>
      </c>
      <c r="H23" s="1" t="s">
        <v>17</v>
      </c>
      <c r="I23" s="1" t="s">
        <v>17</v>
      </c>
      <c r="J23" s="1" t="s">
        <v>17</v>
      </c>
      <c r="K23" s="1" t="str">
        <f>HYPERLINK("http://dx.doi.org/10.1016/j.optlastec.2024.111970","http://dx.doi.org/10.1016/j.optlastec.2024.111970")</f>
        <v>http://dx.doi.org/10.1016/j.optlastec.2024.111970</v>
      </c>
      <c r="L23" s="1" t="s">
        <v>129</v>
      </c>
    </row>
    <row r="24" ht="216" spans="1:12">
      <c r="A24" s="1" t="s">
        <v>130</v>
      </c>
      <c r="B24" s="1" t="s">
        <v>131</v>
      </c>
      <c r="C24" s="1" t="s">
        <v>132</v>
      </c>
      <c r="D24" s="1" t="s">
        <v>133</v>
      </c>
      <c r="E24" s="1" t="s">
        <v>51</v>
      </c>
      <c r="F24" s="1">
        <v>2023</v>
      </c>
      <c r="G24" s="1">
        <v>13</v>
      </c>
      <c r="H24" s="1">
        <v>13</v>
      </c>
      <c r="I24" s="1" t="s">
        <v>17</v>
      </c>
      <c r="J24" s="1" t="s">
        <v>17</v>
      </c>
      <c r="K24" s="1" t="str">
        <f>HYPERLINK("http://dx.doi.org/10.3390/app13137508","http://dx.doi.org/10.3390/app13137508")</f>
        <v>http://dx.doi.org/10.3390/app13137508</v>
      </c>
      <c r="L24" s="1" t="s">
        <v>134</v>
      </c>
    </row>
    <row r="25" ht="243" spans="1:12">
      <c r="A25" s="1" t="s">
        <v>135</v>
      </c>
      <c r="B25" s="1" t="s">
        <v>136</v>
      </c>
      <c r="C25" s="1" t="s">
        <v>137</v>
      </c>
      <c r="D25" s="1" t="s">
        <v>138</v>
      </c>
      <c r="E25" s="1" t="s">
        <v>139</v>
      </c>
      <c r="F25" s="1">
        <v>2023</v>
      </c>
      <c r="G25" s="1">
        <v>40</v>
      </c>
      <c r="H25" s="1">
        <v>10</v>
      </c>
      <c r="I25" s="1">
        <v>1849</v>
      </c>
      <c r="J25" s="1">
        <v>1860</v>
      </c>
      <c r="K25" s="1" t="str">
        <f>HYPERLINK("http://dx.doi.org/10.1364/JOSAA.494980","http://dx.doi.org/10.1364/JOSAA.494980")</f>
        <v>http://dx.doi.org/10.1364/JOSAA.494980</v>
      </c>
      <c r="L25" s="1" t="s">
        <v>140</v>
      </c>
    </row>
    <row r="26" ht="216" spans="1:12">
      <c r="A26" s="1" t="s">
        <v>141</v>
      </c>
      <c r="B26" s="1" t="s">
        <v>142</v>
      </c>
      <c r="C26" s="1" t="s">
        <v>71</v>
      </c>
      <c r="D26" s="1" t="s">
        <v>143</v>
      </c>
      <c r="E26" s="1" t="s">
        <v>144</v>
      </c>
      <c r="F26" s="1">
        <v>2025</v>
      </c>
      <c r="G26" s="1">
        <v>14</v>
      </c>
      <c r="H26" s="1">
        <v>2</v>
      </c>
      <c r="I26" s="1" t="s">
        <v>17</v>
      </c>
      <c r="J26" s="1" t="s">
        <v>17</v>
      </c>
      <c r="K26" s="1" t="str">
        <f>HYPERLINK("http://dx.doi.org/10.3390/electronics14020236","http://dx.doi.org/10.3390/electronics14020236")</f>
        <v>http://dx.doi.org/10.3390/electronics14020236</v>
      </c>
      <c r="L26" s="1" t="s">
        <v>145</v>
      </c>
    </row>
    <row r="27" ht="243" spans="1:12">
      <c r="A27" s="1" t="s">
        <v>146</v>
      </c>
      <c r="B27" s="1" t="s">
        <v>147</v>
      </c>
      <c r="C27" s="1" t="s">
        <v>148</v>
      </c>
      <c r="D27" s="1" t="s">
        <v>149</v>
      </c>
      <c r="E27" s="1" t="s">
        <v>144</v>
      </c>
      <c r="F27" s="1">
        <v>2027</v>
      </c>
      <c r="G27" s="1">
        <v>181</v>
      </c>
      <c r="H27" s="1" t="s">
        <v>17</v>
      </c>
      <c r="I27" s="1" t="s">
        <v>17</v>
      </c>
      <c r="J27" s="1" t="s">
        <v>17</v>
      </c>
      <c r="K27" s="1" t="str">
        <f>HYPERLINK("http://dx.doi.org/10.1016/j.patcog.2026.114579","http://dx.doi.org/10.1016/j.patcog.2026.114579")</f>
        <v>http://dx.doi.org/10.1016/j.patcog.2026.114579</v>
      </c>
      <c r="L27" s="1" t="s">
        <v>150</v>
      </c>
    </row>
    <row r="28" ht="229.5" spans="1:12">
      <c r="A28" s="1" t="s">
        <v>151</v>
      </c>
      <c r="B28" s="1" t="s">
        <v>152</v>
      </c>
      <c r="C28" s="1" t="s">
        <v>153</v>
      </c>
      <c r="D28" s="1" t="s">
        <v>154</v>
      </c>
      <c r="E28" s="1" t="s">
        <v>123</v>
      </c>
      <c r="F28" s="1">
        <v>2023</v>
      </c>
      <c r="G28" s="1">
        <v>170</v>
      </c>
      <c r="H28" s="1" t="s">
        <v>17</v>
      </c>
      <c r="I28" s="1">
        <v>64</v>
      </c>
      <c r="J28" s="1">
        <v>69</v>
      </c>
      <c r="K28" s="1" t="str">
        <f>HYPERLINK("http://dx.doi.org/10.1016/j.patrec.2023.04.002","http://dx.doi.org/10.1016/j.patrec.2023.04.002")</f>
        <v>http://dx.doi.org/10.1016/j.patrec.2023.04.002</v>
      </c>
      <c r="L28" s="1" t="s">
        <v>155</v>
      </c>
    </row>
    <row r="29" ht="216" spans="1:12">
      <c r="A29" s="1" t="s">
        <v>156</v>
      </c>
      <c r="B29" s="1" t="s">
        <v>157</v>
      </c>
      <c r="C29" s="1" t="s">
        <v>158</v>
      </c>
      <c r="D29" s="1" t="s">
        <v>159</v>
      </c>
      <c r="E29" s="1" t="s">
        <v>51</v>
      </c>
      <c r="F29" s="1">
        <v>2026</v>
      </c>
      <c r="G29" s="1">
        <v>187</v>
      </c>
      <c r="H29" s="1" t="s">
        <v>17</v>
      </c>
      <c r="I29" s="1" t="s">
        <v>17</v>
      </c>
      <c r="J29" s="1" t="s">
        <v>17</v>
      </c>
      <c r="K29" s="1" t="str">
        <f>HYPERLINK("http://dx.doi.org/10.1016/j.autcon.2026.106965","http://dx.doi.org/10.1016/j.autcon.2026.106965")</f>
        <v>http://dx.doi.org/10.1016/j.autcon.2026.106965</v>
      </c>
      <c r="L29" s="1" t="s">
        <v>160</v>
      </c>
    </row>
    <row r="30" ht="189" spans="1:12">
      <c r="A30" s="1" t="s">
        <v>161</v>
      </c>
      <c r="B30" s="1" t="s">
        <v>162</v>
      </c>
      <c r="C30" s="1" t="s">
        <v>163</v>
      </c>
      <c r="D30" s="1" t="s">
        <v>164</v>
      </c>
      <c r="E30" s="1" t="s">
        <v>165</v>
      </c>
      <c r="F30" s="1">
        <v>2025</v>
      </c>
      <c r="G30" s="1">
        <v>25</v>
      </c>
      <c r="H30" s="1">
        <v>5</v>
      </c>
      <c r="I30" s="1">
        <v>8766</v>
      </c>
      <c r="J30" s="1">
        <v>8775</v>
      </c>
      <c r="K30" s="1" t="str">
        <f>HYPERLINK("http://dx.doi.org/10.1109/JSEN.2025.3526733","http://dx.doi.org/10.1109/JSEN.2025.3526733")</f>
        <v>http://dx.doi.org/10.1109/JSEN.2025.3526733</v>
      </c>
      <c r="L30" s="1" t="s">
        <v>166</v>
      </c>
    </row>
    <row r="31" ht="175.5" spans="1:12">
      <c r="A31" s="1" t="s">
        <v>167</v>
      </c>
      <c r="B31" s="1" t="s">
        <v>168</v>
      </c>
      <c r="C31" s="1" t="s">
        <v>169</v>
      </c>
      <c r="D31" s="1" t="s">
        <v>170</v>
      </c>
      <c r="E31" s="1" t="s">
        <v>171</v>
      </c>
      <c r="F31" s="1">
        <v>2024</v>
      </c>
      <c r="G31" s="1">
        <v>103</v>
      </c>
      <c r="H31" s="1" t="s">
        <v>17</v>
      </c>
      <c r="I31" s="1" t="s">
        <v>17</v>
      </c>
      <c r="J31" s="1" t="s">
        <v>17</v>
      </c>
      <c r="K31" s="1" t="str">
        <f>HYPERLINK("http://dx.doi.org/10.1016/j.mechatronics.2024.103238","http://dx.doi.org/10.1016/j.mechatronics.2024.103238")</f>
        <v>http://dx.doi.org/10.1016/j.mechatronics.2024.103238</v>
      </c>
      <c r="L31" s="1" t="s">
        <v>172</v>
      </c>
    </row>
    <row r="32" ht="270" spans="1:12">
      <c r="A32" s="1" t="s">
        <v>173</v>
      </c>
      <c r="B32" s="1" t="s">
        <v>174</v>
      </c>
      <c r="C32" s="1" t="s">
        <v>175</v>
      </c>
      <c r="D32" s="1" t="s">
        <v>176</v>
      </c>
      <c r="E32" s="1" t="s">
        <v>177</v>
      </c>
      <c r="F32" s="1">
        <v>2025</v>
      </c>
      <c r="G32" s="1">
        <v>15</v>
      </c>
      <c r="H32" s="1">
        <v>1</v>
      </c>
      <c r="I32" s="1" t="s">
        <v>17</v>
      </c>
      <c r="J32" s="1" t="s">
        <v>17</v>
      </c>
      <c r="K32" s="1" t="str">
        <f>HYPERLINK("http://dx.doi.org/10.1038/s41598-025-88214-x","http://dx.doi.org/10.1038/s41598-025-88214-x")</f>
        <v>http://dx.doi.org/10.1038/s41598-025-88214-x</v>
      </c>
      <c r="L32" s="1" t="s">
        <v>178</v>
      </c>
    </row>
    <row r="33" ht="202.5" spans="1:12">
      <c r="A33" s="1" t="s">
        <v>179</v>
      </c>
      <c r="B33" s="1" t="s">
        <v>180</v>
      </c>
      <c r="C33" s="1" t="s">
        <v>181</v>
      </c>
      <c r="D33" s="1" t="s">
        <v>182</v>
      </c>
      <c r="E33" s="1" t="s">
        <v>46</v>
      </c>
      <c r="F33" s="1">
        <v>2026</v>
      </c>
      <c r="G33" s="1">
        <v>22</v>
      </c>
      <c r="H33" s="1">
        <v>3</v>
      </c>
      <c r="I33" s="1">
        <v>2198</v>
      </c>
      <c r="J33" s="1">
        <v>2208</v>
      </c>
      <c r="K33" s="1" t="str">
        <f>HYPERLINK("http://dx.doi.org/10.1109/TII.2025.3637180","http://dx.doi.org/10.1109/TII.2025.3637180")</f>
        <v>http://dx.doi.org/10.1109/TII.2025.3637180</v>
      </c>
      <c r="L33" s="1" t="s">
        <v>183</v>
      </c>
    </row>
  </sheetData>
  <pageMargins left="0.75" right="0.75" top="1" bottom="1" header="0.5" footer="0.5"/>
  <pageSetup paperSize="1"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savedrecs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danc1nc0de</cp:lastModifiedBy>
  <dcterms:created xsi:type="dcterms:W3CDTF">2026-09-30T17:15:05Z</dcterms:created>
  <dcterms:modified xsi:type="dcterms:W3CDTF">2026-09-30T17:18:42Z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4876D96A953C1CA5EFD3BC6AD2B2C491_43</vt:lpwstr>
  </property>
  <property fmtid="{D5CDD505-2E9C-101B-9397-08002B2CF9AE}" pid="3" name="KSOProductBuildVer">
    <vt:lpwstr>2052-12.1.2.28080</vt:lpwstr>
  </property>
  <property fmtid="{D5CDD505-2E9C-101B-9397-08002B2CF9AE}" pid="4" name="CalculationRule">
    <vt:i4>0</vt:i4>
  </property>
</Properties>
</file>